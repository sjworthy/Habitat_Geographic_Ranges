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anthaworthy/Documents/GitHub/Habitat_Geographic_Ranges/Formatted.Data/"/>
    </mc:Choice>
  </mc:AlternateContent>
  <xr:revisionPtr revIDLastSave="0" documentId="13_ncr:9_{6E0CFE4C-1E2B-1041-9798-EDA241F82358}" xr6:coauthVersionLast="47" xr6:coauthVersionMax="47" xr10:uidLastSave="{00000000-0000-0000-0000-000000000000}"/>
  <bookViews>
    <workbookView xWindow="380" yWindow="500" windowWidth="10400" windowHeight="16480" activeTab="3" xr2:uid="{51D28AAD-446A-4643-BFD6-F30B3F59C986}"/>
  </bookViews>
  <sheets>
    <sheet name="cat.summary" sheetId="1" r:id="rId1"/>
    <sheet name="micro.topo" sheetId="2" r:id="rId2"/>
    <sheet name="micro.soil" sheetId="3" r:id="rId3"/>
    <sheet name="topo.soil" sheetId="4" r:id="rId4"/>
  </sheets>
  <calcPr calcId="0"/>
</workbook>
</file>

<file path=xl/calcChain.xml><?xml version="1.0" encoding="utf-8"?>
<calcChain xmlns="http://schemas.openxmlformats.org/spreadsheetml/2006/main">
  <c r="D4" i="3" l="1"/>
  <c r="C23" i="2"/>
  <c r="C22" i="2"/>
  <c r="C21" i="2"/>
  <c r="C19" i="2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D3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2" i="2"/>
  <c r="C18" i="4"/>
  <c r="C22" i="3"/>
  <c r="C16" i="2"/>
  <c r="E36" i="1"/>
  <c r="D4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7" i="1"/>
  <c r="E38" i="1"/>
  <c r="E39" i="1"/>
  <c r="E40" i="1"/>
  <c r="E41" i="1"/>
  <c r="E42" i="1"/>
  <c r="E43" i="1"/>
  <c r="E44" i="1"/>
  <c r="E45" i="1"/>
  <c r="E46" i="1"/>
  <c r="E47" i="1"/>
  <c r="E2" i="1"/>
</calcChain>
</file>

<file path=xl/sharedStrings.xml><?xml version="1.0" encoding="utf-8"?>
<sst xmlns="http://schemas.openxmlformats.org/spreadsheetml/2006/main" count="261" uniqueCount="13">
  <si>
    <t>Microclimate</t>
  </si>
  <si>
    <t>Topography</t>
  </si>
  <si>
    <t>Soil</t>
  </si>
  <si>
    <t>Species</t>
  </si>
  <si>
    <t>generalists</t>
  </si>
  <si>
    <t>shifting</t>
  </si>
  <si>
    <t>overdisper.shifter</t>
  </si>
  <si>
    <t>specialists</t>
  </si>
  <si>
    <t>overdisperser</t>
  </si>
  <si>
    <t>Percent</t>
  </si>
  <si>
    <t>overall.shifter</t>
  </si>
  <si>
    <t>generalist</t>
  </si>
  <si>
    <t>overdisperse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</si>
</sst>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805A2-F8F7-774D-B21E-632F54F0EF10}">
  <dimension ref="A1:E48"/>
  <sheetViews>
    <sheetView workbookViewId="0">
      <selection activeCell="A6" sqref="A6"/>
    </sheetView>
  </sheetViews>
  <sheetFormatPr baseColWidth="10" defaultRowHeight="16" x14ac:dyDescent="0.2"/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9</v>
      </c>
    </row>
    <row r="2" spans="1:5" x14ac:dyDescent="0.2">
      <c r="A2" t="s">
        <v>4</v>
      </c>
      <c r="B2" t="s">
        <v>4</v>
      </c>
      <c r="C2" t="s">
        <v>4</v>
      </c>
      <c r="D2">
        <v>1</v>
      </c>
      <c r="E2">
        <f>D2/122</f>
        <v>8.1967213114754103E-3</v>
      </c>
    </row>
    <row r="3" spans="1:5" x14ac:dyDescent="0.2">
      <c r="A3" t="s">
        <v>4</v>
      </c>
      <c r="B3" t="s">
        <v>4</v>
      </c>
      <c r="C3" t="s">
        <v>8</v>
      </c>
      <c r="D3">
        <v>1</v>
      </c>
      <c r="E3">
        <f>D3/122</f>
        <v>8.1967213114754103E-3</v>
      </c>
    </row>
    <row r="4" spans="1:5" x14ac:dyDescent="0.2">
      <c r="A4" t="s">
        <v>4</v>
      </c>
      <c r="B4" t="s">
        <v>4</v>
      </c>
      <c r="C4" t="s">
        <v>5</v>
      </c>
      <c r="D4">
        <v>1</v>
      </c>
      <c r="E4">
        <f>D4/122</f>
        <v>8.1967213114754103E-3</v>
      </c>
    </row>
    <row r="5" spans="1:5" x14ac:dyDescent="0.2">
      <c r="A5" t="s">
        <v>4</v>
      </c>
      <c r="B5" t="s">
        <v>4</v>
      </c>
      <c r="C5" t="s">
        <v>7</v>
      </c>
      <c r="D5">
        <v>2</v>
      </c>
      <c r="E5">
        <f>D5/122</f>
        <v>1.6393442622950821E-2</v>
      </c>
    </row>
    <row r="6" spans="1:5" x14ac:dyDescent="0.2">
      <c r="A6" t="s">
        <v>4</v>
      </c>
      <c r="B6" t="s">
        <v>6</v>
      </c>
      <c r="C6" t="s">
        <v>4</v>
      </c>
      <c r="D6">
        <v>1</v>
      </c>
      <c r="E6">
        <f>D6/122</f>
        <v>8.1967213114754103E-3</v>
      </c>
    </row>
    <row r="7" spans="1:5" x14ac:dyDescent="0.2">
      <c r="A7" t="s">
        <v>4</v>
      </c>
      <c r="B7" t="s">
        <v>6</v>
      </c>
      <c r="C7" t="s">
        <v>5</v>
      </c>
      <c r="D7">
        <v>4</v>
      </c>
      <c r="E7">
        <f>D7/122</f>
        <v>3.2786885245901641E-2</v>
      </c>
    </row>
    <row r="8" spans="1:5" x14ac:dyDescent="0.2">
      <c r="A8" t="s">
        <v>4</v>
      </c>
      <c r="B8" t="s">
        <v>5</v>
      </c>
      <c r="C8" t="s">
        <v>4</v>
      </c>
      <c r="D8">
        <v>2</v>
      </c>
      <c r="E8">
        <f>D8/122</f>
        <v>1.6393442622950821E-2</v>
      </c>
    </row>
    <row r="9" spans="1:5" x14ac:dyDescent="0.2">
      <c r="A9" t="s">
        <v>4</v>
      </c>
      <c r="B9" t="s">
        <v>5</v>
      </c>
      <c r="C9" t="s">
        <v>6</v>
      </c>
      <c r="D9">
        <v>1</v>
      </c>
      <c r="E9">
        <f>D9/122</f>
        <v>8.1967213114754103E-3</v>
      </c>
    </row>
    <row r="10" spans="1:5" x14ac:dyDescent="0.2">
      <c r="A10" t="s">
        <v>4</v>
      </c>
      <c r="B10" t="s">
        <v>5</v>
      </c>
      <c r="C10" t="s">
        <v>8</v>
      </c>
      <c r="D10">
        <v>1</v>
      </c>
      <c r="E10">
        <f>D10/122</f>
        <v>8.1967213114754103E-3</v>
      </c>
    </row>
    <row r="11" spans="1:5" x14ac:dyDescent="0.2">
      <c r="A11" t="s">
        <v>4</v>
      </c>
      <c r="B11" t="s">
        <v>5</v>
      </c>
      <c r="C11" t="s">
        <v>5</v>
      </c>
      <c r="D11">
        <v>3</v>
      </c>
      <c r="E11">
        <f>D11/122</f>
        <v>2.4590163934426229E-2</v>
      </c>
    </row>
    <row r="12" spans="1:5" x14ac:dyDescent="0.2">
      <c r="A12" t="s">
        <v>4</v>
      </c>
      <c r="B12" t="s">
        <v>5</v>
      </c>
      <c r="C12" t="s">
        <v>7</v>
      </c>
      <c r="D12">
        <v>1</v>
      </c>
      <c r="E12">
        <f>D12/122</f>
        <v>8.1967213114754103E-3</v>
      </c>
    </row>
    <row r="13" spans="1:5" x14ac:dyDescent="0.2">
      <c r="A13" t="s">
        <v>6</v>
      </c>
      <c r="B13" t="s">
        <v>4</v>
      </c>
      <c r="C13" t="s">
        <v>4</v>
      </c>
      <c r="D13">
        <v>3</v>
      </c>
      <c r="E13">
        <f>D13/122</f>
        <v>2.4590163934426229E-2</v>
      </c>
    </row>
    <row r="14" spans="1:5" x14ac:dyDescent="0.2">
      <c r="A14" t="s">
        <v>6</v>
      </c>
      <c r="B14" t="s">
        <v>4</v>
      </c>
      <c r="C14" t="s">
        <v>8</v>
      </c>
      <c r="D14">
        <v>2</v>
      </c>
      <c r="E14">
        <f>D14/122</f>
        <v>1.6393442622950821E-2</v>
      </c>
    </row>
    <row r="15" spans="1:5" x14ac:dyDescent="0.2">
      <c r="A15" t="s">
        <v>6</v>
      </c>
      <c r="B15" t="s">
        <v>4</v>
      </c>
      <c r="C15" t="s">
        <v>5</v>
      </c>
      <c r="D15">
        <v>6</v>
      </c>
      <c r="E15">
        <f>D15/122</f>
        <v>4.9180327868852458E-2</v>
      </c>
    </row>
    <row r="16" spans="1:5" x14ac:dyDescent="0.2">
      <c r="A16" t="s">
        <v>6</v>
      </c>
      <c r="B16" t="s">
        <v>4</v>
      </c>
      <c r="C16" t="s">
        <v>7</v>
      </c>
      <c r="D16">
        <v>2</v>
      </c>
      <c r="E16">
        <f>D16/122</f>
        <v>1.6393442622950821E-2</v>
      </c>
    </row>
    <row r="17" spans="1:5" x14ac:dyDescent="0.2">
      <c r="A17" t="s">
        <v>6</v>
      </c>
      <c r="B17" t="s">
        <v>6</v>
      </c>
      <c r="C17" t="s">
        <v>4</v>
      </c>
      <c r="D17">
        <v>4</v>
      </c>
      <c r="E17">
        <f>D17/122</f>
        <v>3.2786885245901641E-2</v>
      </c>
    </row>
    <row r="18" spans="1:5" x14ac:dyDescent="0.2">
      <c r="A18" t="s">
        <v>6</v>
      </c>
      <c r="B18" t="s">
        <v>6</v>
      </c>
      <c r="C18" t="s">
        <v>6</v>
      </c>
      <c r="D18">
        <v>5</v>
      </c>
      <c r="E18">
        <f>D18/122</f>
        <v>4.0983606557377046E-2</v>
      </c>
    </row>
    <row r="19" spans="1:5" x14ac:dyDescent="0.2">
      <c r="A19" t="s">
        <v>6</v>
      </c>
      <c r="B19" t="s">
        <v>6</v>
      </c>
      <c r="C19" t="s">
        <v>8</v>
      </c>
      <c r="D19">
        <v>2</v>
      </c>
      <c r="E19">
        <f>D19/122</f>
        <v>1.6393442622950821E-2</v>
      </c>
    </row>
    <row r="20" spans="1:5" x14ac:dyDescent="0.2">
      <c r="A20" t="s">
        <v>6</v>
      </c>
      <c r="B20" t="s">
        <v>6</v>
      </c>
      <c r="C20" t="s">
        <v>5</v>
      </c>
      <c r="D20">
        <v>12</v>
      </c>
      <c r="E20">
        <f>D20/122</f>
        <v>9.8360655737704916E-2</v>
      </c>
    </row>
    <row r="21" spans="1:5" x14ac:dyDescent="0.2">
      <c r="A21" t="s">
        <v>6</v>
      </c>
      <c r="B21" t="s">
        <v>6</v>
      </c>
      <c r="C21" t="s">
        <v>7</v>
      </c>
      <c r="D21">
        <v>2</v>
      </c>
      <c r="E21">
        <f>D21/122</f>
        <v>1.6393442622950821E-2</v>
      </c>
    </row>
    <row r="22" spans="1:5" x14ac:dyDescent="0.2">
      <c r="A22" t="s">
        <v>6</v>
      </c>
      <c r="B22" t="s">
        <v>8</v>
      </c>
      <c r="C22" t="s">
        <v>6</v>
      </c>
      <c r="D22">
        <v>1</v>
      </c>
      <c r="E22">
        <f>D22/122</f>
        <v>8.1967213114754103E-3</v>
      </c>
    </row>
    <row r="23" spans="1:5" x14ac:dyDescent="0.2">
      <c r="A23" t="s">
        <v>6</v>
      </c>
      <c r="B23" t="s">
        <v>8</v>
      </c>
      <c r="C23" t="s">
        <v>5</v>
      </c>
      <c r="D23">
        <v>2</v>
      </c>
      <c r="E23">
        <f>D23/122</f>
        <v>1.6393442622950821E-2</v>
      </c>
    </row>
    <row r="24" spans="1:5" x14ac:dyDescent="0.2">
      <c r="A24" t="s">
        <v>6</v>
      </c>
      <c r="B24" t="s">
        <v>5</v>
      </c>
      <c r="C24" t="s">
        <v>4</v>
      </c>
      <c r="D24">
        <v>2</v>
      </c>
      <c r="E24">
        <f>D24/122</f>
        <v>1.6393442622950821E-2</v>
      </c>
    </row>
    <row r="25" spans="1:5" x14ac:dyDescent="0.2">
      <c r="A25" t="s">
        <v>6</v>
      </c>
      <c r="B25" t="s">
        <v>5</v>
      </c>
      <c r="C25" t="s">
        <v>6</v>
      </c>
      <c r="D25">
        <v>1</v>
      </c>
      <c r="E25">
        <f>D25/122</f>
        <v>8.1967213114754103E-3</v>
      </c>
    </row>
    <row r="26" spans="1:5" x14ac:dyDescent="0.2">
      <c r="A26" t="s">
        <v>6</v>
      </c>
      <c r="B26" t="s">
        <v>5</v>
      </c>
      <c r="C26" t="s">
        <v>8</v>
      </c>
      <c r="D26">
        <v>2</v>
      </c>
      <c r="E26">
        <f>D26/122</f>
        <v>1.6393442622950821E-2</v>
      </c>
    </row>
    <row r="27" spans="1:5" x14ac:dyDescent="0.2">
      <c r="A27" t="s">
        <v>6</v>
      </c>
      <c r="B27" t="s">
        <v>5</v>
      </c>
      <c r="C27" t="s">
        <v>5</v>
      </c>
      <c r="D27">
        <v>21</v>
      </c>
      <c r="E27">
        <f>D27/122</f>
        <v>0.1721311475409836</v>
      </c>
    </row>
    <row r="28" spans="1:5" x14ac:dyDescent="0.2">
      <c r="A28" t="s">
        <v>6</v>
      </c>
      <c r="B28" t="s">
        <v>5</v>
      </c>
      <c r="C28" t="s">
        <v>7</v>
      </c>
      <c r="D28">
        <v>1</v>
      </c>
      <c r="E28">
        <f>D28/122</f>
        <v>8.1967213114754103E-3</v>
      </c>
    </row>
    <row r="29" spans="1:5" x14ac:dyDescent="0.2">
      <c r="A29" t="s">
        <v>8</v>
      </c>
      <c r="B29" t="s">
        <v>4</v>
      </c>
      <c r="C29" t="s">
        <v>4</v>
      </c>
      <c r="D29">
        <v>2</v>
      </c>
      <c r="E29">
        <f>D29/122</f>
        <v>1.6393442622950821E-2</v>
      </c>
    </row>
    <row r="30" spans="1:5" x14ac:dyDescent="0.2">
      <c r="A30" t="s">
        <v>8</v>
      </c>
      <c r="B30" t="s">
        <v>4</v>
      </c>
      <c r="C30" t="s">
        <v>8</v>
      </c>
      <c r="D30">
        <v>1</v>
      </c>
      <c r="E30">
        <f>D30/122</f>
        <v>8.1967213114754103E-3</v>
      </c>
    </row>
    <row r="31" spans="1:5" x14ac:dyDescent="0.2">
      <c r="A31" t="s">
        <v>8</v>
      </c>
      <c r="B31" t="s">
        <v>4</v>
      </c>
      <c r="C31" t="s">
        <v>5</v>
      </c>
      <c r="D31">
        <v>1</v>
      </c>
      <c r="E31">
        <f>D31/122</f>
        <v>8.1967213114754103E-3</v>
      </c>
    </row>
    <row r="32" spans="1:5" x14ac:dyDescent="0.2">
      <c r="A32" t="s">
        <v>8</v>
      </c>
      <c r="B32" t="s">
        <v>4</v>
      </c>
      <c r="C32" t="s">
        <v>7</v>
      </c>
      <c r="D32">
        <v>1</v>
      </c>
      <c r="E32">
        <f>D32/122</f>
        <v>8.1967213114754103E-3</v>
      </c>
    </row>
    <row r="33" spans="1:5" x14ac:dyDescent="0.2">
      <c r="A33" t="s">
        <v>8</v>
      </c>
      <c r="B33" t="s">
        <v>6</v>
      </c>
      <c r="C33" t="s">
        <v>8</v>
      </c>
      <c r="D33">
        <v>1</v>
      </c>
      <c r="E33">
        <f>D33/122</f>
        <v>8.1967213114754103E-3</v>
      </c>
    </row>
    <row r="34" spans="1:5" x14ac:dyDescent="0.2">
      <c r="A34" t="s">
        <v>8</v>
      </c>
      <c r="B34" t="s">
        <v>6</v>
      </c>
      <c r="C34" t="s">
        <v>5</v>
      </c>
      <c r="D34">
        <v>1</v>
      </c>
      <c r="E34">
        <f>D34/122</f>
        <v>8.1967213114754103E-3</v>
      </c>
    </row>
    <row r="35" spans="1:5" x14ac:dyDescent="0.2">
      <c r="A35" t="s">
        <v>8</v>
      </c>
      <c r="B35" t="s">
        <v>6</v>
      </c>
      <c r="C35" t="s">
        <v>7</v>
      </c>
      <c r="D35">
        <v>1</v>
      </c>
      <c r="E35">
        <f>D35/122</f>
        <v>8.1967213114754103E-3</v>
      </c>
    </row>
    <row r="36" spans="1:5" x14ac:dyDescent="0.2">
      <c r="A36" t="s">
        <v>8</v>
      </c>
      <c r="B36" t="s">
        <v>5</v>
      </c>
      <c r="C36" t="s">
        <v>4</v>
      </c>
      <c r="D36">
        <v>1</v>
      </c>
      <c r="E36">
        <f>D36/122</f>
        <v>8.1967213114754103E-3</v>
      </c>
    </row>
    <row r="37" spans="1:5" x14ac:dyDescent="0.2">
      <c r="A37" t="s">
        <v>8</v>
      </c>
      <c r="B37" t="s">
        <v>5</v>
      </c>
      <c r="C37" t="s">
        <v>6</v>
      </c>
      <c r="D37">
        <v>1</v>
      </c>
      <c r="E37">
        <f>D37/122</f>
        <v>8.1967213114754103E-3</v>
      </c>
    </row>
    <row r="38" spans="1:5" x14ac:dyDescent="0.2">
      <c r="A38" t="s">
        <v>8</v>
      </c>
      <c r="B38" t="s">
        <v>5</v>
      </c>
      <c r="C38" t="s">
        <v>5</v>
      </c>
      <c r="D38">
        <v>3</v>
      </c>
      <c r="E38">
        <f>D38/122</f>
        <v>2.4590163934426229E-2</v>
      </c>
    </row>
    <row r="39" spans="1:5" x14ac:dyDescent="0.2">
      <c r="A39" t="s">
        <v>8</v>
      </c>
      <c r="B39" t="s">
        <v>5</v>
      </c>
      <c r="C39" t="s">
        <v>7</v>
      </c>
      <c r="D39">
        <v>2</v>
      </c>
      <c r="E39">
        <f>D39/122</f>
        <v>1.6393442622950821E-2</v>
      </c>
    </row>
    <row r="40" spans="1:5" x14ac:dyDescent="0.2">
      <c r="A40" t="s">
        <v>5</v>
      </c>
      <c r="B40" t="s">
        <v>4</v>
      </c>
      <c r="C40" t="s">
        <v>5</v>
      </c>
      <c r="D40">
        <v>1</v>
      </c>
      <c r="E40">
        <f>D40/122</f>
        <v>8.1967213114754103E-3</v>
      </c>
    </row>
    <row r="41" spans="1:5" x14ac:dyDescent="0.2">
      <c r="A41" t="s">
        <v>5</v>
      </c>
      <c r="B41" t="s">
        <v>6</v>
      </c>
      <c r="C41" t="s">
        <v>4</v>
      </c>
      <c r="D41">
        <v>1</v>
      </c>
      <c r="E41">
        <f>D41/122</f>
        <v>8.1967213114754103E-3</v>
      </c>
    </row>
    <row r="42" spans="1:5" x14ac:dyDescent="0.2">
      <c r="A42" t="s">
        <v>5</v>
      </c>
      <c r="B42" t="s">
        <v>6</v>
      </c>
      <c r="C42" t="s">
        <v>5</v>
      </c>
      <c r="D42">
        <v>1</v>
      </c>
      <c r="E42">
        <f>D42/122</f>
        <v>8.1967213114754103E-3</v>
      </c>
    </row>
    <row r="43" spans="1:5" x14ac:dyDescent="0.2">
      <c r="A43" t="s">
        <v>5</v>
      </c>
      <c r="B43" t="s">
        <v>5</v>
      </c>
      <c r="C43" t="s">
        <v>4</v>
      </c>
      <c r="D43">
        <v>3</v>
      </c>
      <c r="E43">
        <f>D43/122</f>
        <v>2.4590163934426229E-2</v>
      </c>
    </row>
    <row r="44" spans="1:5" x14ac:dyDescent="0.2">
      <c r="A44" t="s">
        <v>5</v>
      </c>
      <c r="B44" t="s">
        <v>5</v>
      </c>
      <c r="C44" t="s">
        <v>6</v>
      </c>
      <c r="D44">
        <v>1</v>
      </c>
      <c r="E44">
        <f>D44/122</f>
        <v>8.1967213114754103E-3</v>
      </c>
    </row>
    <row r="45" spans="1:5" x14ac:dyDescent="0.2">
      <c r="A45" t="s">
        <v>5</v>
      </c>
      <c r="B45" t="s">
        <v>5</v>
      </c>
      <c r="C45" t="s">
        <v>8</v>
      </c>
      <c r="D45">
        <v>2</v>
      </c>
      <c r="E45">
        <f>D45/122</f>
        <v>1.6393442622950821E-2</v>
      </c>
    </row>
    <row r="46" spans="1:5" x14ac:dyDescent="0.2">
      <c r="A46" t="s">
        <v>5</v>
      </c>
      <c r="B46" t="s">
        <v>5</v>
      </c>
      <c r="C46" t="s">
        <v>5</v>
      </c>
      <c r="D46">
        <v>10</v>
      </c>
      <c r="E46">
        <f>D46/122</f>
        <v>8.1967213114754092E-2</v>
      </c>
    </row>
    <row r="47" spans="1:5" x14ac:dyDescent="0.2">
      <c r="A47" t="s">
        <v>7</v>
      </c>
      <c r="B47" t="s">
        <v>5</v>
      </c>
      <c r="C47" t="s">
        <v>4</v>
      </c>
      <c r="D47">
        <v>2</v>
      </c>
      <c r="E47">
        <f>D47/122</f>
        <v>1.6393442622950821E-2</v>
      </c>
    </row>
    <row r="48" spans="1:5" x14ac:dyDescent="0.2">
      <c r="D48">
        <f>SUM(D2:D47)</f>
        <v>122</v>
      </c>
    </row>
  </sheetData>
  <sortState xmlns:xlrd2="http://schemas.microsoft.com/office/spreadsheetml/2017/richdata2" ref="A2:E48">
    <sortCondition ref="A2:A48"/>
    <sortCondition ref="B2:B48"/>
    <sortCondition ref="C2:C4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A41F1-13BA-3347-A18C-70D869C0F09F}">
  <dimension ref="A1:D23"/>
  <sheetViews>
    <sheetView workbookViewId="0">
      <selection activeCell="C24" sqref="C24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3</v>
      </c>
      <c r="D1" t="s">
        <v>9</v>
      </c>
    </row>
    <row r="2" spans="1:4" x14ac:dyDescent="0.2">
      <c r="A2" t="s">
        <v>4</v>
      </c>
      <c r="B2" t="s">
        <v>4</v>
      </c>
      <c r="C2">
        <v>5</v>
      </c>
      <c r="D2">
        <f>C2/122</f>
        <v>4.0983606557377046E-2</v>
      </c>
    </row>
    <row r="3" spans="1:4" x14ac:dyDescent="0.2">
      <c r="A3" t="s">
        <v>4</v>
      </c>
      <c r="B3" t="s">
        <v>6</v>
      </c>
      <c r="C3">
        <v>5</v>
      </c>
      <c r="D3">
        <f>C3/122</f>
        <v>4.0983606557377046E-2</v>
      </c>
    </row>
    <row r="4" spans="1:4" x14ac:dyDescent="0.2">
      <c r="A4" t="s">
        <v>4</v>
      </c>
      <c r="B4" t="s">
        <v>5</v>
      </c>
      <c r="C4">
        <v>8</v>
      </c>
      <c r="D4">
        <f>C4/122</f>
        <v>6.5573770491803282E-2</v>
      </c>
    </row>
    <row r="5" spans="1:4" x14ac:dyDescent="0.2">
      <c r="A5" s="1" t="s">
        <v>6</v>
      </c>
      <c r="B5" s="1" t="s">
        <v>4</v>
      </c>
      <c r="C5" s="1">
        <v>13</v>
      </c>
      <c r="D5">
        <f>C5/122</f>
        <v>0.10655737704918032</v>
      </c>
    </row>
    <row r="6" spans="1:4" x14ac:dyDescent="0.2">
      <c r="A6" s="1" t="s">
        <v>6</v>
      </c>
      <c r="B6" s="1" t="s">
        <v>6</v>
      </c>
      <c r="C6" s="1">
        <v>25</v>
      </c>
      <c r="D6">
        <f>C6/122</f>
        <v>0.20491803278688525</v>
      </c>
    </row>
    <row r="7" spans="1:4" x14ac:dyDescent="0.2">
      <c r="A7" s="1" t="s">
        <v>6</v>
      </c>
      <c r="B7" s="1" t="s">
        <v>8</v>
      </c>
      <c r="C7" s="1">
        <v>3</v>
      </c>
      <c r="D7">
        <f>C7/122</f>
        <v>2.4590163934426229E-2</v>
      </c>
    </row>
    <row r="8" spans="1:4" x14ac:dyDescent="0.2">
      <c r="A8" s="1" t="s">
        <v>6</v>
      </c>
      <c r="B8" s="1" t="s">
        <v>5</v>
      </c>
      <c r="C8" s="1">
        <v>27</v>
      </c>
      <c r="D8">
        <f>C8/122</f>
        <v>0.22131147540983606</v>
      </c>
    </row>
    <row r="9" spans="1:4" x14ac:dyDescent="0.2">
      <c r="A9" t="s">
        <v>8</v>
      </c>
      <c r="B9" t="s">
        <v>4</v>
      </c>
      <c r="C9">
        <v>5</v>
      </c>
      <c r="D9">
        <f>C9/122</f>
        <v>4.0983606557377046E-2</v>
      </c>
    </row>
    <row r="10" spans="1:4" x14ac:dyDescent="0.2">
      <c r="A10" t="s">
        <v>8</v>
      </c>
      <c r="B10" t="s">
        <v>6</v>
      </c>
      <c r="C10">
        <v>3</v>
      </c>
      <c r="D10">
        <f>C10/122</f>
        <v>2.4590163934426229E-2</v>
      </c>
    </row>
    <row r="11" spans="1:4" x14ac:dyDescent="0.2">
      <c r="A11" t="s">
        <v>8</v>
      </c>
      <c r="B11" t="s">
        <v>5</v>
      </c>
      <c r="C11">
        <v>7</v>
      </c>
      <c r="D11">
        <f>C11/122</f>
        <v>5.737704918032787E-2</v>
      </c>
    </row>
    <row r="12" spans="1:4" x14ac:dyDescent="0.2">
      <c r="A12" s="1" t="s">
        <v>5</v>
      </c>
      <c r="B12" s="1" t="s">
        <v>4</v>
      </c>
      <c r="C12" s="1">
        <v>1</v>
      </c>
      <c r="D12">
        <f>C12/122</f>
        <v>8.1967213114754103E-3</v>
      </c>
    </row>
    <row r="13" spans="1:4" x14ac:dyDescent="0.2">
      <c r="A13" s="1" t="s">
        <v>5</v>
      </c>
      <c r="B13" s="1" t="s">
        <v>6</v>
      </c>
      <c r="C13" s="1">
        <v>2</v>
      </c>
      <c r="D13">
        <f>C13/122</f>
        <v>1.6393442622950821E-2</v>
      </c>
    </row>
    <row r="14" spans="1:4" x14ac:dyDescent="0.2">
      <c r="A14" s="1" t="s">
        <v>5</v>
      </c>
      <c r="B14" s="1" t="s">
        <v>5</v>
      </c>
      <c r="C14" s="1">
        <v>16</v>
      </c>
      <c r="D14">
        <f>C14/122</f>
        <v>0.13114754098360656</v>
      </c>
    </row>
    <row r="15" spans="1:4" x14ac:dyDescent="0.2">
      <c r="A15" t="s">
        <v>7</v>
      </c>
      <c r="B15" t="s">
        <v>5</v>
      </c>
      <c r="C15">
        <v>2</v>
      </c>
      <c r="D15">
        <f>C15/122</f>
        <v>1.6393442622950821E-2</v>
      </c>
    </row>
    <row r="16" spans="1:4" x14ac:dyDescent="0.2">
      <c r="C16">
        <f>SUM(C2:C15)</f>
        <v>122</v>
      </c>
    </row>
    <row r="18" spans="1:3" x14ac:dyDescent="0.2">
      <c r="A18" t="s">
        <v>10</v>
      </c>
      <c r="B18" t="s">
        <v>11</v>
      </c>
      <c r="C18">
        <v>14</v>
      </c>
    </row>
    <row r="19" spans="1:3" x14ac:dyDescent="0.2">
      <c r="A19" t="s">
        <v>10</v>
      </c>
      <c r="B19" t="s">
        <v>10</v>
      </c>
      <c r="C19">
        <f>25+27+16+2</f>
        <v>70</v>
      </c>
    </row>
    <row r="20" spans="1:3" x14ac:dyDescent="0.2">
      <c r="A20" t="s">
        <v>10</v>
      </c>
      <c r="B20" t="s">
        <v>12</v>
      </c>
      <c r="C20">
        <v>3</v>
      </c>
    </row>
    <row r="21" spans="1:3" x14ac:dyDescent="0.2">
      <c r="C21">
        <f>SUM(C18:C20)</f>
        <v>87</v>
      </c>
    </row>
    <row r="22" spans="1:3" x14ac:dyDescent="0.2">
      <c r="C22">
        <f>C21/122</f>
        <v>0.71311475409836067</v>
      </c>
    </row>
    <row r="23" spans="1:3" x14ac:dyDescent="0.2">
      <c r="C23">
        <f>70/87</f>
        <v>0.8045977011494253</v>
      </c>
    </row>
  </sheetData>
  <sortState xmlns:xlrd2="http://schemas.microsoft.com/office/spreadsheetml/2017/richdata2" ref="A2:D16">
    <sortCondition ref="A2:A16"/>
    <sortCondition ref="B2:B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20D12-40C2-1744-B5D4-157087F512B4}">
  <dimension ref="A1:D22"/>
  <sheetViews>
    <sheetView workbookViewId="0">
      <selection activeCell="D5" sqref="D5"/>
    </sheetView>
  </sheetViews>
  <sheetFormatPr baseColWidth="10" defaultRowHeight="16" x14ac:dyDescent="0.2"/>
  <sheetData>
    <row r="1" spans="1:4" x14ac:dyDescent="0.2">
      <c r="A1" t="s">
        <v>0</v>
      </c>
      <c r="B1" t="s">
        <v>2</v>
      </c>
      <c r="C1" t="s">
        <v>3</v>
      </c>
      <c r="D1" t="s">
        <v>9</v>
      </c>
    </row>
    <row r="2" spans="1:4" x14ac:dyDescent="0.2">
      <c r="A2" t="s">
        <v>4</v>
      </c>
      <c r="B2" t="s">
        <v>4</v>
      </c>
      <c r="C2">
        <v>4</v>
      </c>
      <c r="D2">
        <f>C2/122</f>
        <v>3.2786885245901641E-2</v>
      </c>
    </row>
    <row r="3" spans="1:4" x14ac:dyDescent="0.2">
      <c r="A3" t="s">
        <v>4</v>
      </c>
      <c r="B3" t="s">
        <v>6</v>
      </c>
      <c r="C3">
        <v>1</v>
      </c>
      <c r="D3">
        <f>C3/122</f>
        <v>8.1967213114754103E-3</v>
      </c>
    </row>
    <row r="4" spans="1:4" x14ac:dyDescent="0.2">
      <c r="A4" t="s">
        <v>4</v>
      </c>
      <c r="B4" t="s">
        <v>8</v>
      </c>
      <c r="C4">
        <v>2</v>
      </c>
      <c r="D4">
        <f>C4/122</f>
        <v>1.6393442622950821E-2</v>
      </c>
    </row>
    <row r="5" spans="1:4" x14ac:dyDescent="0.2">
      <c r="A5" t="s">
        <v>4</v>
      </c>
      <c r="B5" t="s">
        <v>5</v>
      </c>
      <c r="C5">
        <v>8</v>
      </c>
      <c r="D5">
        <f>C5/122</f>
        <v>6.5573770491803282E-2</v>
      </c>
    </row>
    <row r="6" spans="1:4" x14ac:dyDescent="0.2">
      <c r="A6" t="s">
        <v>4</v>
      </c>
      <c r="B6" t="s">
        <v>7</v>
      </c>
      <c r="C6">
        <v>3</v>
      </c>
      <c r="D6">
        <f>C6/122</f>
        <v>2.4590163934426229E-2</v>
      </c>
    </row>
    <row r="7" spans="1:4" x14ac:dyDescent="0.2">
      <c r="A7" t="s">
        <v>6</v>
      </c>
      <c r="B7" t="s">
        <v>4</v>
      </c>
      <c r="C7">
        <v>9</v>
      </c>
      <c r="D7">
        <f>C7/122</f>
        <v>7.3770491803278687E-2</v>
      </c>
    </row>
    <row r="8" spans="1:4" x14ac:dyDescent="0.2">
      <c r="A8" t="s">
        <v>6</v>
      </c>
      <c r="B8" t="s">
        <v>6</v>
      </c>
      <c r="C8">
        <v>7</v>
      </c>
      <c r="D8">
        <f>C8/122</f>
        <v>5.737704918032787E-2</v>
      </c>
    </row>
    <row r="9" spans="1:4" x14ac:dyDescent="0.2">
      <c r="A9" t="s">
        <v>6</v>
      </c>
      <c r="B9" t="s">
        <v>8</v>
      </c>
      <c r="C9">
        <v>6</v>
      </c>
      <c r="D9">
        <f>C9/122</f>
        <v>4.9180327868852458E-2</v>
      </c>
    </row>
    <row r="10" spans="1:4" x14ac:dyDescent="0.2">
      <c r="A10" t="s">
        <v>6</v>
      </c>
      <c r="B10" t="s">
        <v>5</v>
      </c>
      <c r="C10">
        <v>41</v>
      </c>
      <c r="D10">
        <f>C10/122</f>
        <v>0.33606557377049179</v>
      </c>
    </row>
    <row r="11" spans="1:4" x14ac:dyDescent="0.2">
      <c r="A11" t="s">
        <v>6</v>
      </c>
      <c r="B11" t="s">
        <v>7</v>
      </c>
      <c r="C11">
        <v>5</v>
      </c>
      <c r="D11">
        <f>C11/122</f>
        <v>4.0983606557377046E-2</v>
      </c>
    </row>
    <row r="12" spans="1:4" x14ac:dyDescent="0.2">
      <c r="A12" t="s">
        <v>8</v>
      </c>
      <c r="B12" t="s">
        <v>4</v>
      </c>
      <c r="C12">
        <v>3</v>
      </c>
      <c r="D12">
        <f>C12/122</f>
        <v>2.4590163934426229E-2</v>
      </c>
    </row>
    <row r="13" spans="1:4" x14ac:dyDescent="0.2">
      <c r="A13" t="s">
        <v>8</v>
      </c>
      <c r="B13" t="s">
        <v>6</v>
      </c>
      <c r="C13">
        <v>1</v>
      </c>
      <c r="D13">
        <f>C13/122</f>
        <v>8.1967213114754103E-3</v>
      </c>
    </row>
    <row r="14" spans="1:4" x14ac:dyDescent="0.2">
      <c r="A14" t="s">
        <v>8</v>
      </c>
      <c r="B14" t="s">
        <v>8</v>
      </c>
      <c r="C14">
        <v>2</v>
      </c>
      <c r="D14">
        <f>C14/122</f>
        <v>1.6393442622950821E-2</v>
      </c>
    </row>
    <row r="15" spans="1:4" x14ac:dyDescent="0.2">
      <c r="A15" t="s">
        <v>8</v>
      </c>
      <c r="B15" t="s">
        <v>5</v>
      </c>
      <c r="C15">
        <v>5</v>
      </c>
      <c r="D15">
        <f>C15/122</f>
        <v>4.0983606557377046E-2</v>
      </c>
    </row>
    <row r="16" spans="1:4" x14ac:dyDescent="0.2">
      <c r="A16" t="s">
        <v>8</v>
      </c>
      <c r="B16" t="s">
        <v>7</v>
      </c>
      <c r="C16">
        <v>4</v>
      </c>
      <c r="D16">
        <f>C16/122</f>
        <v>3.2786885245901641E-2</v>
      </c>
    </row>
    <row r="17" spans="1:4" x14ac:dyDescent="0.2">
      <c r="A17" t="s">
        <v>5</v>
      </c>
      <c r="B17" t="s">
        <v>4</v>
      </c>
      <c r="C17">
        <v>4</v>
      </c>
      <c r="D17">
        <f>C17/122</f>
        <v>3.2786885245901641E-2</v>
      </c>
    </row>
    <row r="18" spans="1:4" x14ac:dyDescent="0.2">
      <c r="A18" t="s">
        <v>5</v>
      </c>
      <c r="B18" t="s">
        <v>6</v>
      </c>
      <c r="C18">
        <v>1</v>
      </c>
      <c r="D18">
        <f>C18/122</f>
        <v>8.1967213114754103E-3</v>
      </c>
    </row>
    <row r="19" spans="1:4" x14ac:dyDescent="0.2">
      <c r="A19" t="s">
        <v>5</v>
      </c>
      <c r="B19" t="s">
        <v>8</v>
      </c>
      <c r="C19">
        <v>2</v>
      </c>
      <c r="D19">
        <f>C19/122</f>
        <v>1.6393442622950821E-2</v>
      </c>
    </row>
    <row r="20" spans="1:4" x14ac:dyDescent="0.2">
      <c r="A20" t="s">
        <v>5</v>
      </c>
      <c r="B20" t="s">
        <v>5</v>
      </c>
      <c r="C20">
        <v>12</v>
      </c>
      <c r="D20">
        <f>C20/122</f>
        <v>9.8360655737704916E-2</v>
      </c>
    </row>
    <row r="21" spans="1:4" x14ac:dyDescent="0.2">
      <c r="A21" t="s">
        <v>7</v>
      </c>
      <c r="B21" t="s">
        <v>4</v>
      </c>
      <c r="C21">
        <v>2</v>
      </c>
      <c r="D21">
        <f>C21/122</f>
        <v>1.6393442622950821E-2</v>
      </c>
    </row>
    <row r="22" spans="1:4" x14ac:dyDescent="0.2">
      <c r="C22">
        <f>SUM(C2:C21)</f>
        <v>122</v>
      </c>
    </row>
  </sheetData>
  <sortState xmlns:xlrd2="http://schemas.microsoft.com/office/spreadsheetml/2017/richdata2" ref="A2:D22">
    <sortCondition ref="A2:A22"/>
    <sortCondition ref="B2:B2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A83E8-C3A8-BF43-8764-DF1790C709C4}">
  <dimension ref="A1:D18"/>
  <sheetViews>
    <sheetView tabSelected="1" workbookViewId="0">
      <selection sqref="A1:XFD1048576"/>
    </sheetView>
  </sheetViews>
  <sheetFormatPr baseColWidth="10" defaultRowHeight="16" x14ac:dyDescent="0.2"/>
  <sheetData>
    <row r="1" spans="1:4" x14ac:dyDescent="0.2">
      <c r="A1" t="s">
        <v>1</v>
      </c>
      <c r="B1" t="s">
        <v>2</v>
      </c>
      <c r="C1" t="s">
        <v>3</v>
      </c>
      <c r="D1" t="s">
        <v>9</v>
      </c>
    </row>
    <row r="2" spans="1:4" x14ac:dyDescent="0.2">
      <c r="A2" t="s">
        <v>4</v>
      </c>
      <c r="B2" t="s">
        <v>4</v>
      </c>
      <c r="C2">
        <v>6</v>
      </c>
      <c r="D2">
        <f>C2/122</f>
        <v>4.9180327868852458E-2</v>
      </c>
    </row>
    <row r="3" spans="1:4" x14ac:dyDescent="0.2">
      <c r="A3" t="s">
        <v>4</v>
      </c>
      <c r="B3" t="s">
        <v>8</v>
      </c>
      <c r="C3">
        <v>4</v>
      </c>
      <c r="D3">
        <f>C3/122</f>
        <v>3.2786885245901641E-2</v>
      </c>
    </row>
    <row r="4" spans="1:4" x14ac:dyDescent="0.2">
      <c r="A4" t="s">
        <v>4</v>
      </c>
      <c r="B4" t="s">
        <v>5</v>
      </c>
      <c r="C4">
        <v>9</v>
      </c>
      <c r="D4">
        <f>C4/122</f>
        <v>7.3770491803278687E-2</v>
      </c>
    </row>
    <row r="5" spans="1:4" x14ac:dyDescent="0.2">
      <c r="A5" t="s">
        <v>4</v>
      </c>
      <c r="B5" t="s">
        <v>7</v>
      </c>
      <c r="C5">
        <v>5</v>
      </c>
      <c r="D5">
        <f>C5/122</f>
        <v>4.0983606557377046E-2</v>
      </c>
    </row>
    <row r="6" spans="1:4" x14ac:dyDescent="0.2">
      <c r="A6" t="s">
        <v>6</v>
      </c>
      <c r="B6" t="s">
        <v>4</v>
      </c>
      <c r="C6">
        <v>6</v>
      </c>
      <c r="D6">
        <f>C6/122</f>
        <v>4.9180327868852458E-2</v>
      </c>
    </row>
    <row r="7" spans="1:4" x14ac:dyDescent="0.2">
      <c r="A7" t="s">
        <v>6</v>
      </c>
      <c r="B7" t="s">
        <v>6</v>
      </c>
      <c r="C7">
        <v>5</v>
      </c>
      <c r="D7">
        <f>C7/122</f>
        <v>4.0983606557377046E-2</v>
      </c>
    </row>
    <row r="8" spans="1:4" x14ac:dyDescent="0.2">
      <c r="A8" t="s">
        <v>6</v>
      </c>
      <c r="B8" t="s">
        <v>8</v>
      </c>
      <c r="C8">
        <v>3</v>
      </c>
      <c r="D8">
        <f>C8/122</f>
        <v>2.4590163934426229E-2</v>
      </c>
    </row>
    <row r="9" spans="1:4" x14ac:dyDescent="0.2">
      <c r="A9" t="s">
        <v>6</v>
      </c>
      <c r="B9" t="s">
        <v>5</v>
      </c>
      <c r="C9">
        <v>18</v>
      </c>
      <c r="D9">
        <f>C9/122</f>
        <v>0.14754098360655737</v>
      </c>
    </row>
    <row r="10" spans="1:4" x14ac:dyDescent="0.2">
      <c r="A10" t="s">
        <v>6</v>
      </c>
      <c r="B10" t="s">
        <v>7</v>
      </c>
      <c r="C10">
        <v>3</v>
      </c>
      <c r="D10">
        <f>C10/122</f>
        <v>2.4590163934426229E-2</v>
      </c>
    </row>
    <row r="11" spans="1:4" x14ac:dyDescent="0.2">
      <c r="A11" t="s">
        <v>8</v>
      </c>
      <c r="B11" t="s">
        <v>6</v>
      </c>
      <c r="C11">
        <v>1</v>
      </c>
      <c r="D11">
        <f>C11/122</f>
        <v>8.1967213114754103E-3</v>
      </c>
    </row>
    <row r="12" spans="1:4" x14ac:dyDescent="0.2">
      <c r="A12" t="s">
        <v>8</v>
      </c>
      <c r="B12" t="s">
        <v>5</v>
      </c>
      <c r="C12">
        <v>2</v>
      </c>
      <c r="D12">
        <f>C12/122</f>
        <v>1.6393442622950821E-2</v>
      </c>
    </row>
    <row r="13" spans="1:4" x14ac:dyDescent="0.2">
      <c r="A13" t="s">
        <v>5</v>
      </c>
      <c r="B13" t="s">
        <v>4</v>
      </c>
      <c r="C13">
        <v>10</v>
      </c>
      <c r="D13">
        <f>C13/122</f>
        <v>8.1967213114754092E-2</v>
      </c>
    </row>
    <row r="14" spans="1:4" x14ac:dyDescent="0.2">
      <c r="A14" t="s">
        <v>5</v>
      </c>
      <c r="B14" t="s">
        <v>6</v>
      </c>
      <c r="C14">
        <v>4</v>
      </c>
      <c r="D14">
        <f>C14/122</f>
        <v>3.2786885245901641E-2</v>
      </c>
    </row>
    <row r="15" spans="1:4" x14ac:dyDescent="0.2">
      <c r="A15" t="s">
        <v>5</v>
      </c>
      <c r="B15" t="s">
        <v>8</v>
      </c>
      <c r="C15">
        <v>5</v>
      </c>
      <c r="D15">
        <f>C15/122</f>
        <v>4.0983606557377046E-2</v>
      </c>
    </row>
    <row r="16" spans="1:4" x14ac:dyDescent="0.2">
      <c r="A16" t="s">
        <v>5</v>
      </c>
      <c r="B16" t="s">
        <v>5</v>
      </c>
      <c r="C16">
        <v>37</v>
      </c>
      <c r="D16">
        <f>C16/122</f>
        <v>0.30327868852459017</v>
      </c>
    </row>
    <row r="17" spans="1:4" x14ac:dyDescent="0.2">
      <c r="A17" t="s">
        <v>5</v>
      </c>
      <c r="B17" t="s">
        <v>7</v>
      </c>
      <c r="C17">
        <v>4</v>
      </c>
      <c r="D17">
        <f>C17/122</f>
        <v>3.2786885245901641E-2</v>
      </c>
    </row>
    <row r="18" spans="1:4" x14ac:dyDescent="0.2">
      <c r="C18">
        <f>SUM(C2:C17)</f>
        <v>122</v>
      </c>
    </row>
  </sheetData>
  <sortState xmlns:xlrd2="http://schemas.microsoft.com/office/spreadsheetml/2017/richdata2" ref="A2:D18">
    <sortCondition ref="A2:A18"/>
    <sortCondition ref="B2:B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cat.summary</vt:lpstr>
      <vt:lpstr>micro.topo</vt:lpstr>
      <vt:lpstr>micro.soil</vt:lpstr>
      <vt:lpstr>topo.soil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Samantha Worthy</cp:lastModifiedBy>
  <dcterms:created xsi:type="dcterms:W3CDTF">2026-03-24T15:48:06Z</dcterms:created>
  <dcterms:modified xsi:type="dcterms:W3CDTF">2026-03-24T17:51:52Z</dcterms:modified>
</cp:coreProperties>
</file>