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nthaworthy/Documents/GitHub/Habitat_Geographic_Ranges/Formatted.Data/"/>
    </mc:Choice>
  </mc:AlternateContent>
  <xr:revisionPtr revIDLastSave="0" documentId="13_ncr:1_{BCC01F55-FCA0-C646-9F1C-D987B6E29DE5}" xr6:coauthVersionLast="47" xr6:coauthVersionMax="47" xr10:uidLastSave="{00000000-0000-0000-0000-000000000000}"/>
  <bookViews>
    <workbookView xWindow="380" yWindow="500" windowWidth="18500" windowHeight="16480" xr2:uid="{51D28AAD-446A-4643-BFD6-F30B3F59C986}"/>
  </bookViews>
  <sheets>
    <sheet name="cat.summary" sheetId="1" r:id="rId1"/>
    <sheet name="micro.topo" sheetId="2" r:id="rId2"/>
    <sheet name="micro.soil" sheetId="3" r:id="rId3"/>
    <sheet name="topo.soi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F7" i="2"/>
  <c r="F6" i="2"/>
  <c r="F5" i="2"/>
  <c r="D7" i="4"/>
  <c r="D14" i="4"/>
  <c r="D8" i="4"/>
  <c r="D12" i="4"/>
  <c r="D9" i="4"/>
  <c r="D4" i="4"/>
  <c r="D16" i="4"/>
  <c r="D5" i="4"/>
  <c r="D2" i="4"/>
  <c r="D3" i="4"/>
  <c r="D15" i="4"/>
  <c r="D6" i="4"/>
  <c r="D10" i="4"/>
  <c r="D17" i="4"/>
  <c r="D11" i="4"/>
  <c r="D13" i="4"/>
  <c r="C18" i="4"/>
  <c r="D2" i="3"/>
  <c r="D5" i="3"/>
  <c r="D16" i="3"/>
  <c r="D10" i="3"/>
  <c r="D18" i="3"/>
  <c r="D17" i="3"/>
  <c r="D15" i="3"/>
  <c r="D20" i="3"/>
  <c r="D13" i="3"/>
  <c r="D9" i="3"/>
  <c r="D6" i="3"/>
  <c r="D14" i="3"/>
  <c r="D11" i="3"/>
  <c r="D12" i="3"/>
  <c r="D3" i="3"/>
  <c r="D7" i="3"/>
  <c r="D19" i="3"/>
  <c r="D4" i="3"/>
  <c r="D8" i="3"/>
  <c r="C21" i="3"/>
  <c r="D3" i="2"/>
  <c r="D4" i="2"/>
  <c r="D6" i="2"/>
  <c r="D7" i="2"/>
  <c r="D5" i="2"/>
  <c r="D8" i="2"/>
  <c r="D11" i="2"/>
  <c r="D9" i="2"/>
  <c r="D10" i="2"/>
  <c r="D12" i="2"/>
  <c r="D13" i="2"/>
  <c r="D14" i="2"/>
  <c r="D15" i="2"/>
  <c r="D2" i="2"/>
  <c r="C16" i="2"/>
  <c r="E3" i="1"/>
  <c r="E22" i="1"/>
  <c r="E4" i="1"/>
  <c r="E36" i="1"/>
  <c r="E5" i="1"/>
  <c r="E6" i="1"/>
  <c r="E7" i="1"/>
  <c r="E38" i="1"/>
  <c r="E23" i="1"/>
  <c r="E39" i="1"/>
  <c r="E24" i="1"/>
  <c r="E41" i="1"/>
  <c r="E25" i="1"/>
  <c r="E40" i="1"/>
  <c r="E42" i="1"/>
  <c r="E26" i="1"/>
  <c r="E44" i="1"/>
  <c r="E27" i="1"/>
  <c r="E8" i="1"/>
  <c r="E28" i="1"/>
  <c r="E29" i="1"/>
  <c r="E9" i="1"/>
  <c r="E30" i="1"/>
  <c r="E45" i="1"/>
  <c r="E10" i="1"/>
  <c r="E31" i="1"/>
  <c r="E11" i="1"/>
  <c r="E32" i="1"/>
  <c r="E12" i="1"/>
  <c r="E13" i="1"/>
  <c r="E14" i="1"/>
  <c r="E15" i="1"/>
  <c r="E16" i="1"/>
  <c r="E33" i="1"/>
  <c r="E34" i="1"/>
  <c r="E17" i="1"/>
  <c r="E18" i="1"/>
  <c r="E19" i="1"/>
  <c r="E37" i="1"/>
  <c r="E20" i="1"/>
  <c r="E35" i="1"/>
  <c r="E43" i="1"/>
  <c r="E21" i="1"/>
  <c r="E2" i="1"/>
  <c r="D46" i="1"/>
</calcChain>
</file>

<file path=xl/sharedStrings.xml><?xml version="1.0" encoding="utf-8"?>
<sst xmlns="http://schemas.openxmlformats.org/spreadsheetml/2006/main" count="247" uniqueCount="10">
  <si>
    <t>Soil</t>
  </si>
  <si>
    <t>Species</t>
  </si>
  <si>
    <t>generalists</t>
  </si>
  <si>
    <t>shifting</t>
  </si>
  <si>
    <t>overdisper.shifter</t>
  </si>
  <si>
    <t>specialists</t>
  </si>
  <si>
    <t>overdisperser</t>
  </si>
  <si>
    <t>Percent</t>
  </si>
  <si>
    <t>Microclim</t>
  </si>
  <si>
    <t>Topo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</si>
</sst>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0" borderId="0" xfId="0" applyFill="1"/>
    <xf numFmtId="0" fontId="18" fillId="0" borderId="0" xfId="0" applyFont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805A2-F8F7-774D-B21E-632F54F0EF10}">
  <dimension ref="A1:E46"/>
  <sheetViews>
    <sheetView tabSelected="1" zoomScale="132" zoomScaleNormal="80" workbookViewId="0">
      <selection activeCell="E11" sqref="E11"/>
    </sheetView>
  </sheetViews>
  <sheetFormatPr baseColWidth="10" defaultRowHeight="16" x14ac:dyDescent="0.2"/>
  <cols>
    <col min="1" max="1" width="13.1640625" customWidth="1"/>
    <col min="2" max="2" width="12.1640625" customWidth="1"/>
    <col min="3" max="3" width="12.33203125" customWidth="1"/>
  </cols>
  <sheetData>
    <row r="1" spans="1:5" x14ac:dyDescent="0.2">
      <c r="A1" t="s">
        <v>8</v>
      </c>
      <c r="B1" t="s">
        <v>9</v>
      </c>
      <c r="C1" t="s">
        <v>0</v>
      </c>
      <c r="D1" t="s">
        <v>1</v>
      </c>
      <c r="E1" t="s">
        <v>7</v>
      </c>
    </row>
    <row r="2" spans="1:5" x14ac:dyDescent="0.2">
      <c r="A2" t="s">
        <v>2</v>
      </c>
      <c r="B2" t="s">
        <v>2</v>
      </c>
      <c r="C2" t="s">
        <v>2</v>
      </c>
      <c r="D2">
        <v>1</v>
      </c>
      <c r="E2">
        <f>D2/119*100</f>
        <v>0.84033613445378152</v>
      </c>
    </row>
    <row r="3" spans="1:5" x14ac:dyDescent="0.2">
      <c r="A3" t="s">
        <v>2</v>
      </c>
      <c r="B3" t="s">
        <v>2</v>
      </c>
      <c r="C3" t="s">
        <v>6</v>
      </c>
      <c r="D3">
        <v>1</v>
      </c>
      <c r="E3">
        <f>D3/119*100</f>
        <v>0.84033613445378152</v>
      </c>
    </row>
    <row r="4" spans="1:5" x14ac:dyDescent="0.2">
      <c r="A4" t="s">
        <v>2</v>
      </c>
      <c r="B4" t="s">
        <v>4</v>
      </c>
      <c r="C4" t="s">
        <v>2</v>
      </c>
      <c r="D4">
        <v>1</v>
      </c>
      <c r="E4">
        <f>D4/119*100</f>
        <v>0.84033613445378152</v>
      </c>
    </row>
    <row r="5" spans="1:5" x14ac:dyDescent="0.2">
      <c r="A5" t="s">
        <v>2</v>
      </c>
      <c r="B5" t="s">
        <v>3</v>
      </c>
      <c r="C5" t="s">
        <v>2</v>
      </c>
      <c r="D5">
        <v>1</v>
      </c>
      <c r="E5">
        <f>D5/119*100</f>
        <v>0.84033613445378152</v>
      </c>
    </row>
    <row r="6" spans="1:5" x14ac:dyDescent="0.2">
      <c r="A6" t="s">
        <v>2</v>
      </c>
      <c r="B6" t="s">
        <v>3</v>
      </c>
      <c r="C6" t="s">
        <v>4</v>
      </c>
      <c r="D6">
        <v>1</v>
      </c>
      <c r="E6">
        <f>D6/119*100</f>
        <v>0.84033613445378152</v>
      </c>
    </row>
    <row r="7" spans="1:5" x14ac:dyDescent="0.2">
      <c r="A7" t="s">
        <v>2</v>
      </c>
      <c r="B7" t="s">
        <v>3</v>
      </c>
      <c r="C7" t="s">
        <v>6</v>
      </c>
      <c r="D7">
        <v>1</v>
      </c>
      <c r="E7">
        <f>D7/119*100</f>
        <v>0.84033613445378152</v>
      </c>
    </row>
    <row r="8" spans="1:5" x14ac:dyDescent="0.2">
      <c r="A8" t="s">
        <v>4</v>
      </c>
      <c r="B8" t="s">
        <v>6</v>
      </c>
      <c r="C8" t="s">
        <v>4</v>
      </c>
      <c r="D8">
        <v>1</v>
      </c>
      <c r="E8">
        <f>D8/119*100</f>
        <v>0.84033613445378152</v>
      </c>
    </row>
    <row r="9" spans="1:5" x14ac:dyDescent="0.2">
      <c r="A9" t="s">
        <v>4</v>
      </c>
      <c r="B9" t="s">
        <v>3</v>
      </c>
      <c r="C9" t="s">
        <v>4</v>
      </c>
      <c r="D9">
        <v>1</v>
      </c>
      <c r="E9">
        <f>D9/119*100</f>
        <v>0.84033613445378152</v>
      </c>
    </row>
    <row r="10" spans="1:5" x14ac:dyDescent="0.2">
      <c r="A10" t="s">
        <v>4</v>
      </c>
      <c r="B10" t="s">
        <v>3</v>
      </c>
      <c r="C10" t="s">
        <v>5</v>
      </c>
      <c r="D10">
        <v>1</v>
      </c>
      <c r="E10">
        <f>D10/119*100</f>
        <v>0.84033613445378152</v>
      </c>
    </row>
    <row r="11" spans="1:5" x14ac:dyDescent="0.2">
      <c r="A11" t="s">
        <v>6</v>
      </c>
      <c r="B11" t="s">
        <v>2</v>
      </c>
      <c r="C11" t="s">
        <v>6</v>
      </c>
      <c r="D11">
        <v>1</v>
      </c>
      <c r="E11">
        <f>D11/119*100</f>
        <v>0.84033613445378152</v>
      </c>
    </row>
    <row r="12" spans="1:5" x14ac:dyDescent="0.2">
      <c r="A12" t="s">
        <v>6</v>
      </c>
      <c r="B12" t="s">
        <v>2</v>
      </c>
      <c r="C12" t="s">
        <v>5</v>
      </c>
      <c r="D12">
        <v>1</v>
      </c>
      <c r="E12">
        <f>D12/119*100</f>
        <v>0.84033613445378152</v>
      </c>
    </row>
    <row r="13" spans="1:5" x14ac:dyDescent="0.2">
      <c r="A13" t="s">
        <v>6</v>
      </c>
      <c r="B13" t="s">
        <v>4</v>
      </c>
      <c r="C13" t="s">
        <v>6</v>
      </c>
      <c r="D13">
        <v>1</v>
      </c>
      <c r="E13">
        <f>D13/119*100</f>
        <v>0.84033613445378152</v>
      </c>
    </row>
    <row r="14" spans="1:5" x14ac:dyDescent="0.2">
      <c r="A14" t="s">
        <v>6</v>
      </c>
      <c r="B14" t="s">
        <v>4</v>
      </c>
      <c r="C14" t="s">
        <v>3</v>
      </c>
      <c r="D14">
        <v>1</v>
      </c>
      <c r="E14">
        <f>D14/119*100</f>
        <v>0.84033613445378152</v>
      </c>
    </row>
    <row r="15" spans="1:5" x14ac:dyDescent="0.2">
      <c r="A15" t="s">
        <v>6</v>
      </c>
      <c r="B15" t="s">
        <v>4</v>
      </c>
      <c r="C15" t="s">
        <v>5</v>
      </c>
      <c r="D15">
        <v>1</v>
      </c>
      <c r="E15">
        <f>D15/119*100</f>
        <v>0.84033613445378152</v>
      </c>
    </row>
    <row r="16" spans="1:5" x14ac:dyDescent="0.2">
      <c r="A16" t="s">
        <v>6</v>
      </c>
      <c r="B16" t="s">
        <v>3</v>
      </c>
      <c r="C16" t="s">
        <v>2</v>
      </c>
      <c r="D16">
        <v>1</v>
      </c>
      <c r="E16">
        <f>D16/119*100</f>
        <v>0.84033613445378152</v>
      </c>
    </row>
    <row r="17" spans="1:5" x14ac:dyDescent="0.2">
      <c r="A17" t="s">
        <v>3</v>
      </c>
      <c r="B17" t="s">
        <v>2</v>
      </c>
      <c r="C17" t="s">
        <v>3</v>
      </c>
      <c r="D17">
        <v>1</v>
      </c>
      <c r="E17">
        <f>D17/119*100</f>
        <v>0.84033613445378152</v>
      </c>
    </row>
    <row r="18" spans="1:5" x14ac:dyDescent="0.2">
      <c r="A18" t="s">
        <v>3</v>
      </c>
      <c r="B18" t="s">
        <v>4</v>
      </c>
      <c r="C18" t="s">
        <v>2</v>
      </c>
      <c r="D18">
        <v>1</v>
      </c>
      <c r="E18">
        <f>D18/119*100</f>
        <v>0.84033613445378152</v>
      </c>
    </row>
    <row r="19" spans="1:5" x14ac:dyDescent="0.2">
      <c r="A19" t="s">
        <v>3</v>
      </c>
      <c r="B19" t="s">
        <v>4</v>
      </c>
      <c r="C19" t="s">
        <v>3</v>
      </c>
      <c r="D19">
        <v>1</v>
      </c>
      <c r="E19">
        <f>D19/119*100</f>
        <v>0.84033613445378152</v>
      </c>
    </row>
    <row r="20" spans="1:5" x14ac:dyDescent="0.2">
      <c r="A20" t="s">
        <v>3</v>
      </c>
      <c r="B20" t="s">
        <v>3</v>
      </c>
      <c r="C20" t="s">
        <v>4</v>
      </c>
      <c r="D20">
        <v>1</v>
      </c>
      <c r="E20">
        <f>D20/119*100</f>
        <v>0.84033613445378152</v>
      </c>
    </row>
    <row r="21" spans="1:5" x14ac:dyDescent="0.2">
      <c r="A21" t="s">
        <v>5</v>
      </c>
      <c r="B21" t="s">
        <v>3</v>
      </c>
      <c r="C21" t="s">
        <v>2</v>
      </c>
      <c r="D21">
        <v>1</v>
      </c>
      <c r="E21">
        <f>D21/119*100</f>
        <v>0.84033613445378152</v>
      </c>
    </row>
    <row r="22" spans="1:5" x14ac:dyDescent="0.2">
      <c r="A22" t="s">
        <v>2</v>
      </c>
      <c r="B22" t="s">
        <v>2</v>
      </c>
      <c r="C22" t="s">
        <v>5</v>
      </c>
      <c r="D22">
        <v>2</v>
      </c>
      <c r="E22">
        <f>D22/119*100</f>
        <v>1.680672268907563</v>
      </c>
    </row>
    <row r="23" spans="1:5" x14ac:dyDescent="0.2">
      <c r="A23" t="s">
        <v>2</v>
      </c>
      <c r="B23" t="s">
        <v>3</v>
      </c>
      <c r="C23" t="s">
        <v>5</v>
      </c>
      <c r="D23">
        <v>2</v>
      </c>
      <c r="E23">
        <f>D23/119*100</f>
        <v>1.680672268907563</v>
      </c>
    </row>
    <row r="24" spans="1:5" x14ac:dyDescent="0.2">
      <c r="A24" t="s">
        <v>4</v>
      </c>
      <c r="B24" t="s">
        <v>2</v>
      </c>
      <c r="C24" t="s">
        <v>6</v>
      </c>
      <c r="D24">
        <v>2</v>
      </c>
      <c r="E24">
        <f>D24/119*100</f>
        <v>1.680672268907563</v>
      </c>
    </row>
    <row r="25" spans="1:5" x14ac:dyDescent="0.2">
      <c r="A25" t="s">
        <v>4</v>
      </c>
      <c r="B25" t="s">
        <v>2</v>
      </c>
      <c r="C25" t="s">
        <v>5</v>
      </c>
      <c r="D25">
        <v>2</v>
      </c>
      <c r="E25">
        <f>D25/119*100</f>
        <v>1.680672268907563</v>
      </c>
    </row>
    <row r="26" spans="1:5" x14ac:dyDescent="0.2">
      <c r="A26" t="s">
        <v>4</v>
      </c>
      <c r="B26" t="s">
        <v>4</v>
      </c>
      <c r="C26" t="s">
        <v>6</v>
      </c>
      <c r="D26">
        <v>2</v>
      </c>
      <c r="E26">
        <f>D26/119*100</f>
        <v>1.680672268907563</v>
      </c>
    </row>
    <row r="27" spans="1:5" x14ac:dyDescent="0.2">
      <c r="A27" t="s">
        <v>4</v>
      </c>
      <c r="B27" t="s">
        <v>4</v>
      </c>
      <c r="C27" t="s">
        <v>5</v>
      </c>
      <c r="D27">
        <v>2</v>
      </c>
      <c r="E27">
        <f>D27/119*100</f>
        <v>1.680672268907563</v>
      </c>
    </row>
    <row r="28" spans="1:5" x14ac:dyDescent="0.2">
      <c r="A28" t="s">
        <v>4</v>
      </c>
      <c r="B28" t="s">
        <v>6</v>
      </c>
      <c r="C28" t="s">
        <v>3</v>
      </c>
      <c r="D28">
        <v>2</v>
      </c>
      <c r="E28">
        <f>D28/119*100</f>
        <v>1.680672268907563</v>
      </c>
    </row>
    <row r="29" spans="1:5" x14ac:dyDescent="0.2">
      <c r="A29" t="s">
        <v>4</v>
      </c>
      <c r="B29" t="s">
        <v>3</v>
      </c>
      <c r="C29" t="s">
        <v>2</v>
      </c>
      <c r="D29">
        <v>2</v>
      </c>
      <c r="E29">
        <f>D29/119*100</f>
        <v>1.680672268907563</v>
      </c>
    </row>
    <row r="30" spans="1:5" x14ac:dyDescent="0.2">
      <c r="A30" t="s">
        <v>4</v>
      </c>
      <c r="B30" t="s">
        <v>3</v>
      </c>
      <c r="C30" t="s">
        <v>6</v>
      </c>
      <c r="D30">
        <v>2</v>
      </c>
      <c r="E30">
        <f>D30/119*100</f>
        <v>1.680672268907563</v>
      </c>
    </row>
    <row r="31" spans="1:5" x14ac:dyDescent="0.2">
      <c r="A31" t="s">
        <v>6</v>
      </c>
      <c r="B31" t="s">
        <v>2</v>
      </c>
      <c r="C31" t="s">
        <v>2</v>
      </c>
      <c r="D31">
        <v>2</v>
      </c>
      <c r="E31">
        <f>D31/119*100</f>
        <v>1.680672268907563</v>
      </c>
    </row>
    <row r="32" spans="1:5" x14ac:dyDescent="0.2">
      <c r="A32" t="s">
        <v>6</v>
      </c>
      <c r="B32" t="s">
        <v>2</v>
      </c>
      <c r="C32" t="s">
        <v>3</v>
      </c>
      <c r="D32">
        <v>2</v>
      </c>
      <c r="E32">
        <f>D32/119*100</f>
        <v>1.680672268907563</v>
      </c>
    </row>
    <row r="33" spans="1:5" x14ac:dyDescent="0.2">
      <c r="A33" t="s">
        <v>6</v>
      </c>
      <c r="B33" t="s">
        <v>3</v>
      </c>
      <c r="C33" t="s">
        <v>3</v>
      </c>
      <c r="D33">
        <v>2</v>
      </c>
      <c r="E33">
        <f>D33/119*100</f>
        <v>1.680672268907563</v>
      </c>
    </row>
    <row r="34" spans="1:5" x14ac:dyDescent="0.2">
      <c r="A34" t="s">
        <v>6</v>
      </c>
      <c r="B34" t="s">
        <v>3</v>
      </c>
      <c r="C34" t="s">
        <v>5</v>
      </c>
      <c r="D34">
        <v>2</v>
      </c>
      <c r="E34">
        <f>D34/119*100</f>
        <v>1.680672268907563</v>
      </c>
    </row>
    <row r="35" spans="1:5" x14ac:dyDescent="0.2">
      <c r="A35" t="s">
        <v>3</v>
      </c>
      <c r="B35" t="s">
        <v>3</v>
      </c>
      <c r="C35" t="s">
        <v>6</v>
      </c>
      <c r="D35">
        <v>2</v>
      </c>
      <c r="E35">
        <f>D35/119*100</f>
        <v>1.680672268907563</v>
      </c>
    </row>
    <row r="36" spans="1:5" x14ac:dyDescent="0.2">
      <c r="A36" t="s">
        <v>2</v>
      </c>
      <c r="B36" t="s">
        <v>4</v>
      </c>
      <c r="C36" t="s">
        <v>3</v>
      </c>
      <c r="D36">
        <v>3</v>
      </c>
      <c r="E36">
        <f>D36/119*100</f>
        <v>2.5210084033613445</v>
      </c>
    </row>
    <row r="37" spans="1:5" x14ac:dyDescent="0.2">
      <c r="A37" t="s">
        <v>3</v>
      </c>
      <c r="B37" t="s">
        <v>3</v>
      </c>
      <c r="C37" t="s">
        <v>2</v>
      </c>
      <c r="D37">
        <v>3</v>
      </c>
      <c r="E37">
        <f>D37/119*100</f>
        <v>2.5210084033613445</v>
      </c>
    </row>
    <row r="38" spans="1:5" x14ac:dyDescent="0.2">
      <c r="A38" t="s">
        <v>2</v>
      </c>
      <c r="B38" t="s">
        <v>3</v>
      </c>
      <c r="C38" t="s">
        <v>3</v>
      </c>
      <c r="D38">
        <v>4</v>
      </c>
      <c r="E38">
        <f>D38/119*100</f>
        <v>3.3613445378151261</v>
      </c>
    </row>
    <row r="39" spans="1:5" x14ac:dyDescent="0.2">
      <c r="A39" t="s">
        <v>4</v>
      </c>
      <c r="B39" t="s">
        <v>2</v>
      </c>
      <c r="C39" t="s">
        <v>2</v>
      </c>
      <c r="D39">
        <v>4</v>
      </c>
      <c r="E39">
        <f>D39/119*100</f>
        <v>3.3613445378151261</v>
      </c>
    </row>
    <row r="40" spans="1:5" x14ac:dyDescent="0.2">
      <c r="A40" t="s">
        <v>4</v>
      </c>
      <c r="B40" t="s">
        <v>4</v>
      </c>
      <c r="C40" t="s">
        <v>2</v>
      </c>
      <c r="D40">
        <v>4</v>
      </c>
      <c r="E40">
        <f>D40/119*100</f>
        <v>3.3613445378151261</v>
      </c>
    </row>
    <row r="41" spans="1:5" x14ac:dyDescent="0.2">
      <c r="A41" t="s">
        <v>4</v>
      </c>
      <c r="B41" t="s">
        <v>2</v>
      </c>
      <c r="C41" t="s">
        <v>3</v>
      </c>
      <c r="D41">
        <v>5</v>
      </c>
      <c r="E41">
        <f>D41/119*100</f>
        <v>4.2016806722689077</v>
      </c>
    </row>
    <row r="42" spans="1:5" x14ac:dyDescent="0.2">
      <c r="A42" t="s">
        <v>4</v>
      </c>
      <c r="B42" t="s">
        <v>4</v>
      </c>
      <c r="C42" t="s">
        <v>4</v>
      </c>
      <c r="D42">
        <v>5</v>
      </c>
      <c r="E42">
        <f>D42/119*100</f>
        <v>4.2016806722689077</v>
      </c>
    </row>
    <row r="43" spans="1:5" x14ac:dyDescent="0.2">
      <c r="A43" t="s">
        <v>3</v>
      </c>
      <c r="B43" t="s">
        <v>3</v>
      </c>
      <c r="C43" t="s">
        <v>3</v>
      </c>
      <c r="D43">
        <v>10</v>
      </c>
      <c r="E43">
        <f>D43/119*100</f>
        <v>8.4033613445378155</v>
      </c>
    </row>
    <row r="44" spans="1:5" x14ac:dyDescent="0.2">
      <c r="A44" t="s">
        <v>4</v>
      </c>
      <c r="B44" t="s">
        <v>4</v>
      </c>
      <c r="C44" t="s">
        <v>3</v>
      </c>
      <c r="D44">
        <v>12</v>
      </c>
      <c r="E44">
        <f>D44/119*100</f>
        <v>10.084033613445378</v>
      </c>
    </row>
    <row r="45" spans="1:5" x14ac:dyDescent="0.2">
      <c r="A45" t="s">
        <v>4</v>
      </c>
      <c r="B45" t="s">
        <v>3</v>
      </c>
      <c r="C45" t="s">
        <v>3</v>
      </c>
      <c r="D45">
        <v>21</v>
      </c>
      <c r="E45">
        <f>D45/119*100</f>
        <v>17.647058823529413</v>
      </c>
    </row>
    <row r="46" spans="1:5" x14ac:dyDescent="0.2">
      <c r="D46">
        <f>SUM(D2:D45)</f>
        <v>119</v>
      </c>
    </row>
  </sheetData>
  <sortState xmlns:xlrd2="http://schemas.microsoft.com/office/spreadsheetml/2017/richdata2" ref="A2:E46">
    <sortCondition ref="E2:E4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A41F1-13BA-3347-A18C-70D869C0F09F}">
  <dimension ref="A1:F16"/>
  <sheetViews>
    <sheetView workbookViewId="0">
      <selection activeCell="F9" sqref="F9"/>
    </sheetView>
  </sheetViews>
  <sheetFormatPr baseColWidth="10" defaultRowHeight="16" x14ac:dyDescent="0.2"/>
  <cols>
    <col min="1" max="1" width="15.33203125" style="2" bestFit="1" customWidth="1"/>
    <col min="2" max="2" width="15.33203125" bestFit="1" customWidth="1"/>
    <col min="3" max="16384" width="10.83203125" style="2"/>
  </cols>
  <sheetData>
    <row r="1" spans="1:6" x14ac:dyDescent="0.2">
      <c r="A1" s="3" t="s">
        <v>8</v>
      </c>
      <c r="B1" t="s">
        <v>9</v>
      </c>
      <c r="C1" s="2" t="s">
        <v>1</v>
      </c>
      <c r="D1" s="2" t="s">
        <v>7</v>
      </c>
    </row>
    <row r="2" spans="1:6" s="1" customFormat="1" x14ac:dyDescent="0.2">
      <c r="A2" s="3" t="s">
        <v>2</v>
      </c>
      <c r="B2" t="s">
        <v>2</v>
      </c>
      <c r="C2" s="2">
        <v>4</v>
      </c>
      <c r="D2" s="2">
        <f>C2/119*100</f>
        <v>3.3613445378151261</v>
      </c>
    </row>
    <row r="3" spans="1:6" x14ac:dyDescent="0.2">
      <c r="A3" s="3" t="s">
        <v>2</v>
      </c>
      <c r="B3" t="s">
        <v>4</v>
      </c>
      <c r="C3" s="2">
        <v>4</v>
      </c>
      <c r="D3" s="2">
        <f>C3/119*100</f>
        <v>3.3613445378151261</v>
      </c>
    </row>
    <row r="4" spans="1:6" x14ac:dyDescent="0.2">
      <c r="A4" s="3" t="s">
        <v>2</v>
      </c>
      <c r="B4" t="s">
        <v>3</v>
      </c>
      <c r="C4" s="2">
        <v>9</v>
      </c>
      <c r="D4" s="2">
        <f>C4/119*100</f>
        <v>7.5630252100840334</v>
      </c>
    </row>
    <row r="5" spans="1:6" s="1" customFormat="1" x14ac:dyDescent="0.2">
      <c r="A5" s="4" t="s">
        <v>4</v>
      </c>
      <c r="B5" s="1" t="s">
        <v>6</v>
      </c>
      <c r="C5" s="1">
        <v>3</v>
      </c>
      <c r="D5" s="1">
        <f>C5/119*100</f>
        <v>2.5210084033613445</v>
      </c>
      <c r="F5" s="1">
        <f>SUM(C5:C8,C12:C14)</f>
        <v>87</v>
      </c>
    </row>
    <row r="6" spans="1:6" s="1" customFormat="1" x14ac:dyDescent="0.2">
      <c r="A6" s="4" t="s">
        <v>4</v>
      </c>
      <c r="B6" s="1" t="s">
        <v>2</v>
      </c>
      <c r="C6" s="1">
        <v>13</v>
      </c>
      <c r="D6" s="1">
        <f>C6/119*100</f>
        <v>10.92436974789916</v>
      </c>
      <c r="F6" s="1">
        <f>F5/119*100</f>
        <v>73.109243697478988</v>
      </c>
    </row>
    <row r="7" spans="1:6" s="1" customFormat="1" x14ac:dyDescent="0.2">
      <c r="A7" s="4" t="s">
        <v>4</v>
      </c>
      <c r="B7" s="1" t="s">
        <v>4</v>
      </c>
      <c r="C7" s="1">
        <v>25</v>
      </c>
      <c r="D7" s="1">
        <f>C7/119*100</f>
        <v>21.008403361344538</v>
      </c>
      <c r="F7" s="1">
        <f>SUM(C7,C8,C13,C14)</f>
        <v>70</v>
      </c>
    </row>
    <row r="8" spans="1:6" s="1" customFormat="1" x14ac:dyDescent="0.2">
      <c r="A8" s="4" t="s">
        <v>4</v>
      </c>
      <c r="B8" s="1" t="s">
        <v>3</v>
      </c>
      <c r="C8" s="1">
        <v>27</v>
      </c>
      <c r="D8" s="1">
        <f>C8/119*100</f>
        <v>22.689075630252102</v>
      </c>
      <c r="F8" s="1">
        <f>70/87*100</f>
        <v>80.459770114942529</v>
      </c>
    </row>
    <row r="9" spans="1:6" x14ac:dyDescent="0.2">
      <c r="A9" s="3" t="s">
        <v>6</v>
      </c>
      <c r="B9" t="s">
        <v>4</v>
      </c>
      <c r="C9" s="2">
        <v>3</v>
      </c>
      <c r="D9" s="2">
        <f>C9/119*100</f>
        <v>2.5210084033613445</v>
      </c>
    </row>
    <row r="10" spans="1:6" x14ac:dyDescent="0.2">
      <c r="A10" s="3" t="s">
        <v>6</v>
      </c>
      <c r="B10" t="s">
        <v>3</v>
      </c>
      <c r="C10" s="2">
        <v>5</v>
      </c>
      <c r="D10" s="2">
        <f>C10/119*100</f>
        <v>4.2016806722689077</v>
      </c>
    </row>
    <row r="11" spans="1:6" x14ac:dyDescent="0.2">
      <c r="A11" s="3" t="s">
        <v>6</v>
      </c>
      <c r="B11" t="s">
        <v>2</v>
      </c>
      <c r="C11" s="2">
        <v>6</v>
      </c>
      <c r="D11" s="2">
        <f>C11/119*100</f>
        <v>5.0420168067226889</v>
      </c>
    </row>
    <row r="12" spans="1:6" s="1" customFormat="1" x14ac:dyDescent="0.2">
      <c r="A12" s="4" t="s">
        <v>3</v>
      </c>
      <c r="B12" s="1" t="s">
        <v>2</v>
      </c>
      <c r="C12" s="1">
        <v>1</v>
      </c>
      <c r="D12" s="1">
        <f>C12/119*100</f>
        <v>0.84033613445378152</v>
      </c>
    </row>
    <row r="13" spans="1:6" s="1" customFormat="1" x14ac:dyDescent="0.2">
      <c r="A13" s="4" t="s">
        <v>3</v>
      </c>
      <c r="B13" s="1" t="s">
        <v>4</v>
      </c>
      <c r="C13" s="1">
        <v>2</v>
      </c>
      <c r="D13" s="1">
        <f>C13/119*100</f>
        <v>1.680672268907563</v>
      </c>
    </row>
    <row r="14" spans="1:6" s="1" customFormat="1" x14ac:dyDescent="0.2">
      <c r="A14" s="4" t="s">
        <v>3</v>
      </c>
      <c r="B14" s="1" t="s">
        <v>3</v>
      </c>
      <c r="C14" s="1">
        <v>16</v>
      </c>
      <c r="D14" s="1">
        <f>C14/119*100</f>
        <v>13.445378151260504</v>
      </c>
    </row>
    <row r="15" spans="1:6" x14ac:dyDescent="0.2">
      <c r="A15" s="3" t="s">
        <v>5</v>
      </c>
      <c r="B15" t="s">
        <v>3</v>
      </c>
      <c r="C15" s="2">
        <v>1</v>
      </c>
      <c r="D15" s="2">
        <f>C15/119*100</f>
        <v>0.84033613445378152</v>
      </c>
    </row>
    <row r="16" spans="1:6" x14ac:dyDescent="0.2">
      <c r="C16" s="2">
        <f>SUM(C2:C15)</f>
        <v>119</v>
      </c>
    </row>
  </sheetData>
  <sortState xmlns:xlrd2="http://schemas.microsoft.com/office/spreadsheetml/2017/richdata2" ref="A2:D16">
    <sortCondition ref="A2:A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0D12-40C2-1744-B5D4-157087F512B4}">
  <dimension ref="A1:D21"/>
  <sheetViews>
    <sheetView workbookViewId="0">
      <selection sqref="A1:XFD1048576"/>
    </sheetView>
  </sheetViews>
  <sheetFormatPr baseColWidth="10" defaultRowHeight="16" x14ac:dyDescent="0.2"/>
  <cols>
    <col min="1" max="1" width="13.5" customWidth="1"/>
  </cols>
  <sheetData>
    <row r="1" spans="1:4" x14ac:dyDescent="0.2">
      <c r="A1" s="3" t="s">
        <v>8</v>
      </c>
      <c r="B1" t="s">
        <v>0</v>
      </c>
      <c r="C1" t="s">
        <v>1</v>
      </c>
      <c r="D1" t="s">
        <v>7</v>
      </c>
    </row>
    <row r="2" spans="1:4" x14ac:dyDescent="0.2">
      <c r="A2" s="3" t="s">
        <v>2</v>
      </c>
      <c r="B2" t="s">
        <v>4</v>
      </c>
      <c r="C2">
        <v>1</v>
      </c>
      <c r="D2">
        <f>C2/119*100</f>
        <v>0.84033613445378152</v>
      </c>
    </row>
    <row r="3" spans="1:4" x14ac:dyDescent="0.2">
      <c r="A3" s="3" t="s">
        <v>3</v>
      </c>
      <c r="B3" t="s">
        <v>4</v>
      </c>
      <c r="C3">
        <v>1</v>
      </c>
      <c r="D3">
        <f>C3/119*100</f>
        <v>0.84033613445378152</v>
      </c>
    </row>
    <row r="4" spans="1:4" x14ac:dyDescent="0.2">
      <c r="A4" s="3" t="s">
        <v>5</v>
      </c>
      <c r="B4" t="s">
        <v>2</v>
      </c>
      <c r="C4">
        <v>1</v>
      </c>
      <c r="D4">
        <f>C4/119*100</f>
        <v>0.84033613445378152</v>
      </c>
    </row>
    <row r="5" spans="1:4" x14ac:dyDescent="0.2">
      <c r="A5" s="3" t="s">
        <v>2</v>
      </c>
      <c r="B5" t="s">
        <v>6</v>
      </c>
      <c r="C5">
        <v>2</v>
      </c>
      <c r="D5">
        <f>C5/119*100</f>
        <v>1.680672268907563</v>
      </c>
    </row>
    <row r="6" spans="1:4" x14ac:dyDescent="0.2">
      <c r="A6" s="3" t="s">
        <v>6</v>
      </c>
      <c r="B6" t="s">
        <v>6</v>
      </c>
      <c r="C6">
        <v>2</v>
      </c>
      <c r="D6">
        <f>C6/119*100</f>
        <v>1.680672268907563</v>
      </c>
    </row>
    <row r="7" spans="1:4" x14ac:dyDescent="0.2">
      <c r="A7" s="3" t="s">
        <v>3</v>
      </c>
      <c r="B7" t="s">
        <v>6</v>
      </c>
      <c r="C7">
        <v>2</v>
      </c>
      <c r="D7">
        <f>C7/119*100</f>
        <v>1.680672268907563</v>
      </c>
    </row>
    <row r="8" spans="1:4" x14ac:dyDescent="0.2">
      <c r="A8" s="3" t="s">
        <v>2</v>
      </c>
      <c r="B8" t="s">
        <v>2</v>
      </c>
      <c r="C8">
        <v>3</v>
      </c>
      <c r="D8">
        <f>C8/119*100</f>
        <v>2.5210084033613445</v>
      </c>
    </row>
    <row r="9" spans="1:4" x14ac:dyDescent="0.2">
      <c r="A9" s="3" t="s">
        <v>6</v>
      </c>
      <c r="B9" t="s">
        <v>2</v>
      </c>
      <c r="C9">
        <v>3</v>
      </c>
      <c r="D9">
        <f>C9/119*100</f>
        <v>2.5210084033613445</v>
      </c>
    </row>
    <row r="10" spans="1:4" x14ac:dyDescent="0.2">
      <c r="A10" s="3" t="s">
        <v>2</v>
      </c>
      <c r="B10" t="s">
        <v>5</v>
      </c>
      <c r="C10">
        <v>4</v>
      </c>
      <c r="D10">
        <f>C10/119*100</f>
        <v>3.3613445378151261</v>
      </c>
    </row>
    <row r="11" spans="1:4" x14ac:dyDescent="0.2">
      <c r="A11" s="3" t="s">
        <v>6</v>
      </c>
      <c r="B11" t="s">
        <v>5</v>
      </c>
      <c r="C11">
        <v>4</v>
      </c>
      <c r="D11">
        <f>C11/119*100</f>
        <v>3.3613445378151261</v>
      </c>
    </row>
    <row r="12" spans="1:4" x14ac:dyDescent="0.2">
      <c r="A12" s="3" t="s">
        <v>3</v>
      </c>
      <c r="B12" t="s">
        <v>2</v>
      </c>
      <c r="C12">
        <v>4</v>
      </c>
      <c r="D12">
        <f>C12/119*100</f>
        <v>3.3613445378151261</v>
      </c>
    </row>
    <row r="13" spans="1:4" x14ac:dyDescent="0.2">
      <c r="A13" s="3" t="s">
        <v>4</v>
      </c>
      <c r="B13" t="s">
        <v>5</v>
      </c>
      <c r="C13">
        <v>5</v>
      </c>
      <c r="D13">
        <f>C13/119*100</f>
        <v>4.2016806722689077</v>
      </c>
    </row>
    <row r="14" spans="1:4" x14ac:dyDescent="0.2">
      <c r="A14" s="3" t="s">
        <v>6</v>
      </c>
      <c r="B14" t="s">
        <v>3</v>
      </c>
      <c r="C14">
        <v>5</v>
      </c>
      <c r="D14">
        <f>C14/119*100</f>
        <v>4.2016806722689077</v>
      </c>
    </row>
    <row r="15" spans="1:4" x14ac:dyDescent="0.2">
      <c r="A15" s="3" t="s">
        <v>4</v>
      </c>
      <c r="B15" t="s">
        <v>6</v>
      </c>
      <c r="C15">
        <v>6</v>
      </c>
      <c r="D15">
        <f>C15/119*100</f>
        <v>5.0420168067226889</v>
      </c>
    </row>
    <row r="16" spans="1:4" x14ac:dyDescent="0.2">
      <c r="A16" s="3" t="s">
        <v>2</v>
      </c>
      <c r="B16" t="s">
        <v>3</v>
      </c>
      <c r="C16">
        <v>7</v>
      </c>
      <c r="D16">
        <f>C16/119*100</f>
        <v>5.8823529411764701</v>
      </c>
    </row>
    <row r="17" spans="1:4" x14ac:dyDescent="0.2">
      <c r="A17" s="3" t="s">
        <v>4</v>
      </c>
      <c r="B17" t="s">
        <v>4</v>
      </c>
      <c r="C17">
        <v>7</v>
      </c>
      <c r="D17">
        <f>C17/119*100</f>
        <v>5.8823529411764701</v>
      </c>
    </row>
    <row r="18" spans="1:4" x14ac:dyDescent="0.2">
      <c r="A18" s="3" t="s">
        <v>4</v>
      </c>
      <c r="B18" t="s">
        <v>2</v>
      </c>
      <c r="C18">
        <v>10</v>
      </c>
      <c r="D18">
        <f>C18/119*100</f>
        <v>8.4033613445378155</v>
      </c>
    </row>
    <row r="19" spans="1:4" x14ac:dyDescent="0.2">
      <c r="A19" s="3" t="s">
        <v>3</v>
      </c>
      <c r="B19" t="s">
        <v>3</v>
      </c>
      <c r="C19">
        <v>12</v>
      </c>
      <c r="D19">
        <f>C19/119*100</f>
        <v>10.084033613445378</v>
      </c>
    </row>
    <row r="20" spans="1:4" x14ac:dyDescent="0.2">
      <c r="A20" s="3" t="s">
        <v>4</v>
      </c>
      <c r="B20" t="s">
        <v>3</v>
      </c>
      <c r="C20">
        <v>40</v>
      </c>
      <c r="D20">
        <f>C20/119*100</f>
        <v>33.613445378151262</v>
      </c>
    </row>
    <row r="21" spans="1:4" x14ac:dyDescent="0.2">
      <c r="C21">
        <f>SUM(C2:C20)</f>
        <v>119</v>
      </c>
    </row>
  </sheetData>
  <sortState xmlns:xlrd2="http://schemas.microsoft.com/office/spreadsheetml/2017/richdata2" ref="A2:D21">
    <sortCondition ref="D2:D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A83E8-C3A8-BF43-8764-DF1790C709C4}">
  <dimension ref="A1:D18"/>
  <sheetViews>
    <sheetView workbookViewId="0">
      <selection activeCell="H17" sqref="H17"/>
    </sheetView>
  </sheetViews>
  <sheetFormatPr baseColWidth="10" defaultRowHeight="16" x14ac:dyDescent="0.2"/>
  <cols>
    <col min="1" max="1" width="13.33203125" customWidth="1"/>
  </cols>
  <sheetData>
    <row r="1" spans="1:4" x14ac:dyDescent="0.2">
      <c r="A1" s="3" t="s">
        <v>9</v>
      </c>
      <c r="B1" s="3" t="s">
        <v>0</v>
      </c>
      <c r="C1" t="s">
        <v>1</v>
      </c>
      <c r="D1" t="s">
        <v>7</v>
      </c>
    </row>
    <row r="2" spans="1:4" x14ac:dyDescent="0.2">
      <c r="A2" s="3" t="s">
        <v>6</v>
      </c>
      <c r="B2" s="3" t="s">
        <v>4</v>
      </c>
      <c r="C2">
        <v>1</v>
      </c>
      <c r="D2">
        <f>C2/119*100</f>
        <v>0.84033613445378152</v>
      </c>
    </row>
    <row r="3" spans="1:4" x14ac:dyDescent="0.2">
      <c r="A3" s="3" t="s">
        <v>6</v>
      </c>
      <c r="B3" s="3" t="s">
        <v>3</v>
      </c>
      <c r="C3">
        <v>2</v>
      </c>
      <c r="D3">
        <f>C3/119*100</f>
        <v>1.680672268907563</v>
      </c>
    </row>
    <row r="4" spans="1:4" x14ac:dyDescent="0.2">
      <c r="A4" s="3" t="s">
        <v>4</v>
      </c>
      <c r="B4" s="3" t="s">
        <v>6</v>
      </c>
      <c r="C4">
        <v>3</v>
      </c>
      <c r="D4">
        <f>C4/119*100</f>
        <v>2.5210084033613445</v>
      </c>
    </row>
    <row r="5" spans="1:4" x14ac:dyDescent="0.2">
      <c r="A5" s="3" t="s">
        <v>4</v>
      </c>
      <c r="B5" s="3" t="s">
        <v>5</v>
      </c>
      <c r="C5">
        <v>3</v>
      </c>
      <c r="D5">
        <f>C5/119*100</f>
        <v>2.5210084033613445</v>
      </c>
    </row>
    <row r="6" spans="1:4" x14ac:dyDescent="0.2">
      <c r="A6" s="3" t="s">
        <v>3</v>
      </c>
      <c r="B6" s="3" t="s">
        <v>4</v>
      </c>
      <c r="C6">
        <v>3</v>
      </c>
      <c r="D6">
        <f>C6/119*100</f>
        <v>2.5210084033613445</v>
      </c>
    </row>
    <row r="7" spans="1:4" x14ac:dyDescent="0.2">
      <c r="A7" s="3" t="s">
        <v>2</v>
      </c>
      <c r="B7" s="3" t="s">
        <v>6</v>
      </c>
      <c r="C7">
        <v>4</v>
      </c>
      <c r="D7">
        <f>C7/119*100</f>
        <v>3.3613445378151261</v>
      </c>
    </row>
    <row r="8" spans="1:4" x14ac:dyDescent="0.2">
      <c r="A8" s="3" t="s">
        <v>2</v>
      </c>
      <c r="B8" s="3" t="s">
        <v>5</v>
      </c>
      <c r="C8">
        <v>5</v>
      </c>
      <c r="D8">
        <f>C8/119*100</f>
        <v>4.2016806722689077</v>
      </c>
    </row>
    <row r="9" spans="1:4" x14ac:dyDescent="0.2">
      <c r="A9" s="3" t="s">
        <v>4</v>
      </c>
      <c r="B9" s="3" t="s">
        <v>4</v>
      </c>
      <c r="C9">
        <v>5</v>
      </c>
      <c r="D9">
        <f>C9/119*100</f>
        <v>4.2016806722689077</v>
      </c>
    </row>
    <row r="10" spans="1:4" x14ac:dyDescent="0.2">
      <c r="A10" s="3" t="s">
        <v>3</v>
      </c>
      <c r="B10" s="3" t="s">
        <v>6</v>
      </c>
      <c r="C10">
        <v>5</v>
      </c>
      <c r="D10">
        <f>C10/119*100</f>
        <v>4.2016806722689077</v>
      </c>
    </row>
    <row r="11" spans="1:4" x14ac:dyDescent="0.2">
      <c r="A11" s="3" t="s">
        <v>3</v>
      </c>
      <c r="B11" s="3" t="s">
        <v>5</v>
      </c>
      <c r="C11">
        <v>5</v>
      </c>
      <c r="D11">
        <f>C11/119*100</f>
        <v>4.2016806722689077</v>
      </c>
    </row>
    <row r="12" spans="1:4" x14ac:dyDescent="0.2">
      <c r="A12" s="3" t="s">
        <v>4</v>
      </c>
      <c r="B12" s="3" t="s">
        <v>2</v>
      </c>
      <c r="C12">
        <v>6</v>
      </c>
      <c r="D12">
        <f>C12/119*100</f>
        <v>5.0420168067226889</v>
      </c>
    </row>
    <row r="13" spans="1:4" x14ac:dyDescent="0.2">
      <c r="A13" s="3" t="s">
        <v>2</v>
      </c>
      <c r="B13" s="3" t="s">
        <v>2</v>
      </c>
      <c r="C13">
        <v>7</v>
      </c>
      <c r="D13">
        <f>C13/119*100</f>
        <v>5.8823529411764701</v>
      </c>
    </row>
    <row r="14" spans="1:4" x14ac:dyDescent="0.2">
      <c r="A14" s="3" t="s">
        <v>2</v>
      </c>
      <c r="B14" s="3" t="s">
        <v>3</v>
      </c>
      <c r="C14">
        <v>8</v>
      </c>
      <c r="D14">
        <f>C14/119*100</f>
        <v>6.7226890756302522</v>
      </c>
    </row>
    <row r="15" spans="1:4" x14ac:dyDescent="0.2">
      <c r="A15" s="3" t="s">
        <v>3</v>
      </c>
      <c r="B15" s="3" t="s">
        <v>2</v>
      </c>
      <c r="C15">
        <v>8</v>
      </c>
      <c r="D15">
        <f>C15/119*100</f>
        <v>6.7226890756302522</v>
      </c>
    </row>
    <row r="16" spans="1:4" x14ac:dyDescent="0.2">
      <c r="A16" s="3" t="s">
        <v>4</v>
      </c>
      <c r="B16" s="3" t="s">
        <v>3</v>
      </c>
      <c r="C16">
        <v>17</v>
      </c>
      <c r="D16">
        <f>C16/119*100</f>
        <v>14.285714285714285</v>
      </c>
    </row>
    <row r="17" spans="1:4" x14ac:dyDescent="0.2">
      <c r="A17" s="3" t="s">
        <v>3</v>
      </c>
      <c r="B17" s="3" t="s">
        <v>3</v>
      </c>
      <c r="C17">
        <v>37</v>
      </c>
      <c r="D17">
        <f>C17/119*100</f>
        <v>31.092436974789916</v>
      </c>
    </row>
    <row r="18" spans="1:4" x14ac:dyDescent="0.2">
      <c r="A18" s="3"/>
      <c r="C18">
        <f>SUM(C2:C17)</f>
        <v>119</v>
      </c>
    </row>
  </sheetData>
  <sortState xmlns:xlrd2="http://schemas.microsoft.com/office/spreadsheetml/2017/richdata2" ref="A2:D18">
    <sortCondition ref="D2:D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cat.summary</vt:lpstr>
      <vt:lpstr>micro.topo</vt:lpstr>
      <vt:lpstr>micro.soil</vt:lpstr>
      <vt:lpstr>topo.soil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Samantha Worthy</cp:lastModifiedBy>
  <dcterms:created xsi:type="dcterms:W3CDTF">2026-03-24T15:48:06Z</dcterms:created>
  <dcterms:modified xsi:type="dcterms:W3CDTF">2026-04-06T14:30:15Z</dcterms:modified>
</cp:coreProperties>
</file>